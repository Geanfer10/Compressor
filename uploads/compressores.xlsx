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H14" i="1" s="1"/>
  <c r="I14" i="1" s="1"/>
  <c r="E14" i="1"/>
  <c r="D14" i="1"/>
  <c r="F13" i="1"/>
  <c r="H13" i="1" s="1"/>
  <c r="I13" i="1" s="1"/>
  <c r="E13" i="1"/>
  <c r="D13" i="1"/>
  <c r="F12" i="1"/>
  <c r="H12" i="1" s="1"/>
  <c r="I12" i="1" s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H8" i="1" s="1"/>
  <c r="I8" i="1" s="1"/>
  <c r="E8" i="1"/>
  <c r="D8" i="1"/>
  <c r="H11" i="1" l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<sst xmlns="http://schemas.openxmlformats.org/spreadsheetml/2006/main" count="1115" uniqueCount="506">
  <si>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</si>
  <si>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</si>
  <si>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</si>
  <si>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</si>
  <si>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</si>
  <si>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</si>
  <si>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</si>
  <si>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</si>
  <si>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</si>
  <si>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</si>
  <si>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</si>
  <si>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</si>
  <si>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</si>
  <si>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</si>
  <si>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</si>
  <si>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</si>
  <si>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</si>
  <si>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</si>
  <si>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</si>
  <si>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</si>
  <si>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</si>
  <si>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</si>
  <si>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</si>
  <si>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</si>
  <si>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</si>
  <si>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</si>
  <si>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</si>
  <si>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</si>
  <si>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</si>
  <si>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</si>
  <si>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</si>
  <si>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</si>
  <si>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</si>
  <si>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</si>
  <si>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</si>
  <si>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</si>
  <si>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</si>
  <si>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</si>
  <si>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</si>
  <si>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</si>
  <si>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</si>
  <si>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</si>
  <si>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</si>
  <si>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</si>
  <si>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</si>
  <si>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</si>
  <si>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</si>
  <si>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</si>
  <si>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</si>
  <si>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</si>
  <si>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</si>
  <si>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</si>
  <si>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</si>
  <si>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</si>
  <si>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</si>
  <si>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</si>
  <si>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</si>
  <si>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</si>
  <si>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</si>
  <si>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</si>
  <si>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</si>
  <si>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</si>
  <si>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</si>
  <si>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</si>
  <si>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</si>
  <si>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</si>
  <si>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</si>
  <si>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</si>
  <si>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</si>
  <si>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</si>
  <si>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</si>
  <si>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</si>
  <si>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</si>
  <si>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</si>
  <si>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</si>
  <si>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</si>
  <si>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</si>
  <si>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</si>
  <si>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</si>
  <si>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</si>
  <si>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</si>
  <si>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</si>
  <si>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</si>
  <si>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</si>
  <si>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</si>
  <si>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</si>
  <si>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</si>
  <si>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</si>
  <si>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</si>
  <si>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</si>
  <si>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</si>
  <si>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</si>
  <si>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</si>
  <si>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</si>
  <si>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</si>
  <si>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</si>
  <si>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</si>
  <si>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</si>
  <si>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</si>
  <si>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</si>
  <si>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</si>
  <si>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</si>
  <si>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</si>
  <si>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</si>
  <si>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</si>
  <si>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</si>
  <si>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</si>
  <si>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</si>
  <si>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</si>
  <si>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</si>
  <si>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</si>
  <si>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</si>
  <si>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</si>
  <si>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</si>
  <si>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</si>
  <si>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</si>
  <si>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</si>
  <si>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</si>
  <si>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</si>
  <si>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</si>
  <si>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</si>
  <si>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</si>
  <si>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</si>
  <si>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</si>
  <si>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</si>
  <si>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</si>
  <si>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</si>
  <si>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</si>
  <si>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</si>
  <si>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</si>
  <si>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</si>
  <si>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</si>
  <si>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</si>
  <si>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</si>
  <si>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</si>
  <si>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</si>
  <si>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</si>
  <si>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</si>
  <si>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</si>
  <si>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</si>
  <si>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</si>
  <si>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</si>
  <si>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</si>
  <si>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</si>
  <si>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</si>
  <si>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</si>
  <si>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</si>
  <si>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</si>
  <si>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</si>
  <si>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</si>
  <si>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</si>
  <si>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</si>
  <si>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</si>
  <si>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</si>
  <si>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</si>
  <si>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</si>
  <si>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</si>
  <si>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</si>
  <si>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</si>
  <si>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</si>
  <si>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</si>
  <si>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</si>
  <si>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</si>
  <si>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</si>
  <si>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</si>
  <si>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</si>
  <si>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</si>
  <si>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</si>
  <si>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</si>
  <si>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</si>
  <si>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</si>
  <si>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</si>
  <si>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</si>
  <si>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</si>
  <si>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</si>
  <si>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</si>
  <si>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</si>
  <si>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</si>
  <si>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</si>
  <si>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</si>
  <si>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</si>
  <si>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</si>
  <si>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</si>
  <si>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</si>
  <si>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</si>
  <si>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</si>
  <si>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</si>
  <si>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</si>
  <si>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</si>
  <si>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</si>
  <si>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</si>
  <si>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</si>
  <si>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</si>
  <si>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</si>
  <si>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</si>
  <si>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</si>
  <si>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</si>
  <si>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</si>
  <si>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</si>
  <si>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</si>
  <si>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</si>
  <si>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</si>
  <si>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</si>
  <si>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</si>
  <si>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</si>
  <si>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</si>
  <si>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</si>
  <si>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</si>
  <si>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</si>
  <si>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</si>
  <si>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</si>
  <si>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</si>
  <si>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</si>
  <si>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</si>
  <si>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</si>
  <si>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</si>
  <si>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</si>
  <si>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</si>
  <si>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</si>
  <si>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</si>
  <si>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</si>
  <si>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</si>
  <si>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</si>
  <si>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</si>
  <si>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</si>
  <si>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</si>
  <si>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</si>
  <si>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</si>
  <si>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</si>
  <si>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</si>
  <si>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</si>
  <si>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</si>
  <si>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</si>
  <si>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</si>
  <si>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</si>
  <si>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</si>
  <si>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</si>
  <si>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</si>
  <si>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</si>
  <si>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</si>
  <si>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</si>
  <si>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</si>
  <si>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</si>
  <si>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</si>
  <si>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</si>
  <si>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</si>
  <si>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</si>
  <si>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</si>
  <si>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</si>
  <si>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</si>
  <si>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</si>
  <si>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</si>
  <si>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</si>
  <si>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</si>
  <si>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</si>
  <si>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</si>
  <si>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</si>
  <si>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</si>
  <si>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</si>
  <si>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</si>
  <si>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</si>
  <si>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</si>
  <si>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</si>
  <si>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</si>
  <si>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</si>
  <si>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</si>
  <si>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</si>
  <si>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</si>
  <si>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</si>
  <si>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</si>
  <si>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</si>
  <si>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</si>
  <si>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</si>
  <si>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</si>
  <si>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</si>
  <si>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</si>
  <si>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</si>
  <si>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</si>
  <si>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</si>
  <si>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</si>
  <si>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</si>
  <si>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</si>
  <si>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</si>
  <si>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</si>
  <si>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</si>
  <si>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</si>
  <si>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</si>
  <si>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</si>
  <si>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</si>
  <si>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</si>
  <si>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</si>
  <si>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</si>
  <si>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</si>
  <si>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</si>
  <si>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</si>
  <si>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</si>
  <si>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</si>
  <si>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</si>
  <si>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</si>
  <si>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</si>
  <si>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</si>
  <si>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</si>
  <si>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</si>
  <si>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</si>
  <si>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</si>
  <si>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</si>
  <si>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</si>
  <si>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</si>
  <si>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</si>
  <si>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</si>
  <si>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</si>
  <si>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</si>
  <si>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</si>
  <si>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</si>
  <si>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</si>
  <si>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</si>
  <si>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</si>
  <si>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</si>
  <si>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</si>
  <si>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</si>
  <si>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</si>
  <si>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</si>
  <si>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</si>
  <si>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</si>
  <si>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</si>
  <si>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</si>
  <si>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</si>
  <si>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</si>
  <si>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</si>
  <si>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</si>
  <si>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</si>
  <si>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</si>
  <si>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</si>
  <si>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</si>
  <si>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</si>
  <si>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</si>
  <si>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</si>
  <si>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</si>
  <si>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</si>
  <si>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</si>
  <si>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</si>
  <si>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</si>
  <si>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</si>
  <si>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</si>
  <si>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</si>
  <si>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</si>
  <si>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</si>
  <si>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</si>
  <si>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</si>
  <si>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</si>
  <si>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</si>
  <si>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</si>
  <si>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</si>
  <si>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</si>
  <si>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</si>
  <si>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</si>
  <si>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</si>
  <si>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</si>
  <si>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</si>
  <si>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</si>
  <si>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</si>
  <si>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</si>
  <si>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</si>
  <si>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</si>
  <si>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</si>
  <si>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</si>
  <si>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</si>
  <si>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</si>
  <si>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</si>
  <si>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</si>
  <si>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</si>
  <si>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</si>
  <si>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</si>
  <si>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</si>
  <si>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</si>
  <si>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</si>
  <si>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</si>
  <si>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</si>
  <si>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</si>
  <si>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</si>
  <si>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</si>
  <si>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</si>
  <si>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</si>
  <si>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</si>
  <si>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</si>
  <si>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</si>
  <si>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</si>
  <si>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</si>
  <si>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</si>
  <si>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</si>
  <si>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</si>
  <si>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</si>
  <si>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</si>
  <si>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</si>
  <si>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</si>
  <si>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</si>
  <si>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</si>
  <si>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</si>
  <si>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</si>
  <si>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</si>
  <si>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</si>
  <si>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</si>
  <si>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</si>
  <si>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</si>
  <si>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</si>
  <si>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</si>
  <si>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</si>
  <si>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</si>
  <si>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</si>
  <si>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</si>
  <si>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</si>
  <si>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</si>
  <si>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</si>
  <si>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</si>
  <si>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</si>
  <si>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</si>
  <si>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</si>
  <si>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</si>
  <si>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</si>
  <si>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</si>
  <si>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</si>
  <si>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</si>
  <si>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</si>
  <si>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</si>
  <si>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</si>
  <si>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</si>
  <si>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</si>
  <si>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</si>
  <si>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</si>
  <si>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</si>
  <si>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</si>
  <si>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</si>
  <si>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</si>
  <si>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</si>
  <si>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</si>
  <si>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</si>
  <si>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</si>
  <si>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</si>
  <si>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</si>
  <si>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</si>
  <si>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</si>
  <si>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</si>
  <si>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</si>
  <si>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</si>
  <si>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</si>
  <si>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</si>
  <si>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</si>
  <si>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</si>
  <si>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</si>
  <si>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</si>
  <si>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</si>
  <si>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</si>
  <si>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</si>
  <si>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</si>
  <si>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</si>
  <si>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</si>
  <si>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</si>
  <si>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</si>
  <si>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</si>
  <si>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</si>
  <si>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</si>
  <si>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</si>
  <si>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</si>
  <si>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</si>
  <si>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</si>
  <si>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</si>
  <si>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</si>
  <si>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</si>
  <si>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</si>
  <si>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</si>
  <si>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</si>
  <si>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</si>
  <si>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</si>
  <si>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</si>
  <si>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</si>
  <si>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</si>
  <si>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</si>
  <si>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</si>
  <si>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</si>
  <si>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</si>
  <si>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</si>
  <si>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</si>
  <si>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</si>
  <si>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</si>
  <si>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</si>
  <si>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</si>
  <si>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</si>
  <si>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</si>
  <si>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</si>
  <si>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</si>
  <si>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</si>
  <si>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</si>
  <si>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</si>
  <si>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</si>
  <si>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</si>
  <si>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</si>
  <si>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</si>
  <si>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</si>
  <si>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</si>
  <si>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</si>
  <si>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</si>
  <si>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</si>
  <si>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 xml:space="preserve">N° GA-45 </t>
  </si>
  <si>
    <t>N°5 GA-55 VSD FF5</t>
  </si>
  <si>
    <t>Nº6 GA-55 VSD FF6</t>
  </si>
  <si>
    <t>N°7 GA-55 VSD FF7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</si>
</sst>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numFmt numFmtId="19" formatCode="dd/mm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I14" totalsRowShown="0">
  <tableColumns count="8">
    <tableColumn id="1" name="N°"/>
    <tableColumn id="2" name="Compressor"/>
    <tableColumn id="3" name="Ultima Preventiva" dataDxfId="0"/>
    <tableColumn id="4" name="Hrs carga Preventiva"/>
    <tableColumn id="5" name="Hrs carga Atual"/>
    <tableColumn id="6" name="Hr semanal"/>
    <tableColumn id="7" name="Diferença das Hrs"/>
    <tableColumn id="8" name="Próxima Preventiv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tabSelected="1" zoomScale="85" zoomScaleNormal="85" workbookViewId="0">
      <selection activeCell="E28" sqref="E28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0.140625" style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9" ht="15.75" customHeight="1" x14ac:dyDescent="0.25"/>
    <row r="2" spans="2:9" x14ac:dyDescent="0.25">
      <c r="B2" s="112" t="s">
        <v>0</v>
      </c>
      <c r="C2" s="112"/>
      <c r="D2" s="112"/>
      <c r="E2" s="112"/>
      <c r="F2" s="112"/>
      <c r="G2" s="112"/>
      <c r="H2" s="112"/>
      <c r="I2" s="112"/>
    </row>
    <row r="3" spans="2:9" x14ac:dyDescent="0.25">
      <c r="B3" s="112"/>
      <c r="C3" s="112"/>
      <c r="D3" s="112"/>
      <c r="E3" s="112"/>
      <c r="F3" s="112"/>
      <c r="G3" s="112"/>
      <c r="H3" s="112"/>
      <c r="I3" s="112"/>
    </row>
    <row r="4" spans="2:9" x14ac:dyDescent="0.25">
      <c r="B4" s="112"/>
      <c r="C4" s="112"/>
      <c r="D4" s="112"/>
      <c r="E4" s="112"/>
      <c r="F4" s="112"/>
      <c r="G4" s="112"/>
      <c r="H4" s="112"/>
      <c r="I4" s="112"/>
    </row>
    <row r="5" spans="2:9" ht="15.75" customHeight="1" x14ac:dyDescent="0.25">
      <c r="B5" s="112"/>
      <c r="C5" s="112"/>
      <c r="D5" s="112"/>
      <c r="E5" s="112"/>
      <c r="F5" s="112"/>
      <c r="G5" s="112"/>
      <c r="H5" s="112"/>
      <c r="I5" s="112"/>
    </row>
    <row r="7" spans="2:9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</row>
    <row r="8" spans="2:9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>
        <f>4000-Resumo!$H8</f>
        <v>4084</v>
      </c>
    </row>
    <row r="9" spans="2:9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65535</v>
      </c>
      <c r="G9" s="3">
        <f>Tabela436[[#This Row],[Hrs carga Atual]]-(LARGE(Tabela62[GA-55 VSD],2))</f>
        <v>22108</v>
      </c>
      <c r="H9" s="3">
        <f>Resumo!$F9-Resumo!$E9</f>
        <v>430</v>
      </c>
      <c r="I9">
        <f>4000-Resumo!$H9</f>
        <v>3570</v>
      </c>
    </row>
    <row r="10" spans="2:9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45409</v>
      </c>
      <c r="G10" s="3">
        <f>Tabela436[[#This Row],[Hrs carga Atual]]-(LARGE(Tabela62[GA-55 FF],2))</f>
        <v>12175</v>
      </c>
      <c r="H10" s="3">
        <f>Resumo!$F10-Resumo!$E10</f>
        <v>40</v>
      </c>
      <c r="I10">
        <f>4000-Resumo!$H10</f>
        <v>3960</v>
      </c>
    </row>
    <row r="11" spans="2:9" x14ac:dyDescent="0.25">
      <c r="B11" s="3">
        <v>4</v>
      </c>
      <c r="C11" s="3" t="s">
        <v>502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29014</v>
      </c>
      <c r="G11" s="3">
        <f>Tabela436[[#This Row],[Hrs carga Atual]]-(LARGE(Tabela62[GA-45 ],2))</f>
        <v>9611</v>
      </c>
      <c r="H11" s="3">
        <f>Resumo!$F11-Resumo!$E11</f>
        <v>1585</v>
      </c>
      <c r="I11">
        <f>4000-Resumo!$H11</f>
        <v>2415</v>
      </c>
    </row>
    <row r="12" spans="2:9" x14ac:dyDescent="0.25">
      <c r="B12" s="3">
        <v>5</v>
      </c>
      <c r="C12" s="3" t="s">
        <v>503</v>
      </c>
      <c r="D12" s="80">
        <f>IF(SUM(Preventivas!H7:H26)="","",MAX(Preventivas!H7:H26))</f>
        <v>46260</v>
      </c>
      <c r="E12" s="3">
        <f>MAX(Preventivas!Q7:Q26)</f>
        <v>26217</v>
      </c>
      <c r="F12" s="3">
        <f>MAX('Hrs de carga'!$G$10:$G$102)</f>
        <v>26949</v>
      </c>
      <c r="G12" s="3">
        <f>Tabela436[[#This Row],[Hrs carga Atual]]-(LARGE(Tabela62[GA-55 VSDFF],2))</f>
        <v>8633</v>
      </c>
      <c r="H12" s="3">
        <f>Resumo!$F12-Resumo!$E12</f>
        <v>732</v>
      </c>
      <c r="I12">
        <f>4000-Resumo!$H12</f>
        <v>3268</v>
      </c>
    </row>
    <row r="13" spans="2:9" x14ac:dyDescent="0.25">
      <c r="B13" s="3">
        <v>6</v>
      </c>
      <c r="C13" s="3" t="s">
        <v>504</v>
      </c>
      <c r="D13" s="80">
        <f>IF(SUM(Preventivas!I7:I26)="","",MAX(Preventivas!I7:I26))</f>
        <v>45673</v>
      </c>
      <c r="E13" s="3">
        <f>MAX(Preventivas!R7:R26)</f>
        <v>16031</v>
      </c>
      <c r="F13" s="3">
        <f>MAX('Hrs de carga'!$H$10:$H$102)</f>
        <v>26763</v>
      </c>
      <c r="G13" s="3">
        <f>Tabela436[[#This Row],[Hrs carga Atual]]-(LARGE(Tabela62[GA-55 VSDFF2],2))</f>
        <v>8541</v>
      </c>
      <c r="H13" s="3">
        <f>Resumo!$F13-Resumo!$E13</f>
        <v>10732</v>
      </c>
      <c r="I13">
        <f>4000-Resumo!$H13</f>
        <v>-6732</v>
      </c>
    </row>
    <row r="14" spans="2:9" x14ac:dyDescent="0.25">
      <c r="B14" s="3">
        <v>1</v>
      </c>
      <c r="C14" s="3" t="s">
        <v>505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13613</v>
      </c>
      <c r="G14" s="3">
        <f>Tabela436[[#This Row],[Hrs carga Atual]]-(LARGE(Tabela62[GA-55 VSDFF3],2))</f>
        <v>9547</v>
      </c>
      <c r="H14" s="3">
        <f>Resumo!$F14-Resumo!$E14</f>
        <v>502</v>
      </c>
      <c r="I14">
        <f>4000-Resumo!$H14</f>
        <v>3498</v>
      </c>
    </row>
  </sheetData>
  <mergeCells count="1">
    <mergeCell ref="B2:I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46" zoomScaleNormal="100" workbookViewId="0">
      <selection activeCell="C66" sqref="C66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3" t="s">
        <v>13</v>
      </c>
      <c r="C3" s="113"/>
      <c r="D3" s="113"/>
      <c r="E3" s="113"/>
      <c r="F3" s="113"/>
      <c r="G3" s="113"/>
      <c r="H3" s="113"/>
    </row>
    <row r="4" spans="2:9" x14ac:dyDescent="0.25">
      <c r="B4" s="113"/>
      <c r="C4" s="113"/>
      <c r="D4" s="113"/>
      <c r="E4" s="113"/>
      <c r="F4" s="113"/>
      <c r="G4" s="113"/>
      <c r="H4" s="113"/>
    </row>
    <row r="5" spans="2:9" x14ac:dyDescent="0.25">
      <c r="B5" s="113"/>
      <c r="C5" s="113"/>
      <c r="D5" s="113"/>
      <c r="E5" s="113"/>
      <c r="F5" s="113"/>
      <c r="G5" s="113"/>
      <c r="H5" s="113"/>
    </row>
    <row r="6" spans="2:9" ht="15.75" customHeight="1" x14ac:dyDescent="0.25">
      <c r="B6" s="113"/>
      <c r="C6" s="113"/>
      <c r="D6" s="113"/>
      <c r="E6" s="113"/>
      <c r="F6" s="113"/>
      <c r="G6" s="113"/>
      <c r="H6" s="113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/>
      <c r="I67" s="13"/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D7" sqref="D7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4" t="s">
        <v>33</v>
      </c>
      <c r="D3" s="114"/>
      <c r="E3" s="114"/>
      <c r="F3" s="114"/>
      <c r="G3" s="114"/>
      <c r="H3" s="114"/>
      <c r="I3" s="114"/>
      <c r="J3" s="114"/>
      <c r="L3" s="115" t="s">
        <v>34</v>
      </c>
      <c r="M3" s="115"/>
      <c r="N3" s="115"/>
      <c r="O3" s="115"/>
      <c r="P3" s="115"/>
      <c r="Q3" s="115"/>
      <c r="R3" s="115"/>
    </row>
    <row r="4" spans="2:19" ht="15.75" customHeight="1" x14ac:dyDescent="0.25">
      <c r="C4" s="114"/>
      <c r="D4" s="114"/>
      <c r="E4" s="114"/>
      <c r="F4" s="114"/>
      <c r="G4" s="114"/>
      <c r="H4" s="114"/>
      <c r="I4" s="114"/>
      <c r="J4" s="114"/>
      <c r="L4" s="115"/>
      <c r="M4" s="115"/>
      <c r="N4" s="115"/>
      <c r="O4" s="115"/>
      <c r="P4" s="115"/>
      <c r="Q4" s="115"/>
      <c r="R4" s="115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46260</v>
      </c>
      <c r="I17" s="84"/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26217</v>
      </c>
      <c r="R17" s="27"/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I1" activePane="topRight" state="frozen"/>
      <selection activeCell="A3" sqref="A3"/>
      <selection pane="topRight" activeCell="P18" sqref="P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3"/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3"/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/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3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3"/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3"/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3"/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3"/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3"/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3"/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3"/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3"/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s="73"/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3"/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3"/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3"/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3"/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2026-09-17T19:52:39Z</dcterms:modified>
  <dc:language>en-US</dc:language>
</cp:coreProperties>
</file>